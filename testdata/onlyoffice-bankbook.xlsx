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tables/table4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<sst xmlns="http://schemas.openxmlformats.org/spreadsheetml/2006/main" count="62" uniqueCount="62">
  <si>
    <t>One-Time-Purchase</t>
  </si>
  <si>
    <t xml:space="preserve">Ongoing Subscription</t>
  </si>
  <si>
    <t>Stats</t>
  </si>
  <si>
    <t>Earning</t>
  </si>
  <si>
    <t>Budget</t>
  </si>
  <si>
    <t>Item</t>
  </si>
  <si>
    <t>Cost</t>
  </si>
  <si>
    <t>Date</t>
  </si>
  <si>
    <t>Product</t>
  </si>
  <si>
    <t xml:space="preserve">Start Date</t>
  </si>
  <si>
    <t>Total</t>
  </si>
  <si>
    <t>Category</t>
  </si>
  <si>
    <t>Amnt</t>
  </si>
  <si>
    <t>When</t>
  </si>
  <si>
    <t>Income</t>
  </si>
  <si>
    <t>Money</t>
  </si>
  <si>
    <t xml:space="preserve">game - random3</t>
  </si>
  <si>
    <t>subscription1</t>
  </si>
  <si>
    <t>Retail</t>
  </si>
  <si>
    <t>Earned</t>
  </si>
  <si>
    <t xml:space="preserve">drink - random9</t>
  </si>
  <si>
    <t>subscription2</t>
  </si>
  <si>
    <t>Game</t>
  </si>
  <si>
    <t>Spent</t>
  </si>
  <si>
    <t xml:space="preserve">game - random6</t>
  </si>
  <si>
    <t>subscription3</t>
  </si>
  <si>
    <t>Subscription</t>
  </si>
  <si>
    <t>Remaining</t>
  </si>
  <si>
    <t xml:space="preserve">game - random9</t>
  </si>
  <si>
    <t>subscription4</t>
  </si>
  <si>
    <t>Food</t>
  </si>
  <si>
    <t xml:space="preserve">game - random11</t>
  </si>
  <si>
    <t>subscription5</t>
  </si>
  <si>
    <t>Drink</t>
  </si>
  <si>
    <t xml:space="preserve">game - random2</t>
  </si>
  <si>
    <t>Travel</t>
  </si>
  <si>
    <t xml:space="preserve">food - random35</t>
  </si>
  <si>
    <t xml:space="preserve">drink - random8</t>
  </si>
  <si>
    <t xml:space="preserve">game - random4</t>
  </si>
  <si>
    <t xml:space="preserve">retail - random21</t>
  </si>
  <si>
    <t xml:space="preserve">retail - random22</t>
  </si>
  <si>
    <t xml:space="preserve">retail - random23</t>
  </si>
  <si>
    <t xml:space="preserve">food - random34</t>
  </si>
  <si>
    <t xml:space="preserve">game - random10</t>
  </si>
  <si>
    <t xml:space="preserve">retail - random28</t>
  </si>
  <si>
    <t xml:space="preserve">retail - random26</t>
  </si>
  <si>
    <t>d</t>
  </si>
  <si>
    <t xml:space="preserve">retail - random31</t>
  </si>
  <si>
    <t xml:space="preserve">retail - random32</t>
  </si>
  <si>
    <t xml:space="preserve">retail - random25</t>
  </si>
  <si>
    <t xml:space="preserve">game - random8</t>
  </si>
  <si>
    <t xml:space="preserve">game - random13</t>
  </si>
  <si>
    <t xml:space="preserve">retail - random27</t>
  </si>
  <si>
    <t xml:space="preserve">game - random12</t>
  </si>
  <si>
    <t xml:space="preserve">game - random5</t>
  </si>
  <si>
    <t xml:space="preserve">game - random</t>
  </si>
  <si>
    <t xml:space="preserve">retail - random24</t>
  </si>
  <si>
    <t xml:space="preserve">food - random33</t>
  </si>
  <si>
    <t xml:space="preserve">game - random7</t>
  </si>
  <si>
    <t xml:space="preserve">retail - random20</t>
  </si>
  <si>
    <t xml:space="preserve">retail - random29</t>
  </si>
  <si>
    <t xml:space="preserve">retail - random30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</si>
</sst>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[$$-409]#,##0.00"/>
  </numFmts>
  <fonts count="6">
    <font>
      <sz val="10.000000"/>
      <name val="Arial"/>
      <scheme val="minor"/>
    </font>
    <font>
      <sz val="11.000000"/>
      <color theme="1"/>
      <name val="Arial"/>
      <scheme val="minor"/>
    </font>
    <font>
      <sz val="10.000000"/>
      <name val="Lucida Sans"/>
    </font>
    <font>
      <sz val="24.000000"/>
      <color theme="0" tint="0"/>
      <name val="Lucida Sans"/>
    </font>
    <font>
      <b/>
      <sz val="10.000000"/>
      <color theme="0" tint="0"/>
      <name val="Lucida Sans"/>
    </font>
    <font>
      <color theme="1"/>
      <name val="Lucida Sans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1" tint="0"/>
        <bgColor theme="1" tint="0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thin">
        <color theme="2" tint="0"/>
      </right>
      <top style="none"/>
      <bottom style="none"/>
      <diagonal style="none"/>
    </border>
    <border>
      <left style="thin">
        <color theme="2" tint="0"/>
      </left>
      <right style="thin">
        <color theme="2" tint="0"/>
      </right>
      <top style="none"/>
      <bottom style="none"/>
      <diagonal style="none"/>
    </border>
    <border>
      <left style="thin">
        <color theme="2" tint="0"/>
      </left>
      <right style="none"/>
      <top style="none"/>
      <bottom style="none"/>
      <diagonal style="none"/>
    </border>
    <border>
      <left style="none"/>
      <right style="thin">
        <color theme="0" tint="0"/>
      </right>
      <top style="none"/>
      <bottom style="none"/>
      <diagonal style="none"/>
    </border>
    <border>
      <left style="thin">
        <color theme="0" tint="0"/>
      </left>
      <right style="thin">
        <color theme="0" tint="0"/>
      </right>
      <top style="none"/>
      <bottom style="none"/>
      <diagonal style="none"/>
    </border>
    <border>
      <left style="thin">
        <color theme="0" tint="0"/>
      </left>
      <right style="none"/>
      <top style="none"/>
      <bottom style="none"/>
      <diagonal style="none"/>
    </border>
    <border>
      <left style="thin">
        <color theme="0" tint="0"/>
      </left>
      <right style="thin">
        <color theme="0" tint="0"/>
      </right>
      <top style="thin">
        <color theme="0" tint="0"/>
      </top>
      <bottom style="thin">
        <color theme="0" tint="0"/>
      </bottom>
      <diagonal style="none"/>
    </border>
    <border>
      <left style="thin">
        <color theme="0" tint="0"/>
      </left>
      <right style="thin">
        <color theme="0" tint="0"/>
      </right>
      <top style="thin">
        <color theme="1"/>
      </top>
      <bottom style="none"/>
      <diagonal style="none"/>
    </border>
    <border>
      <left style="thin">
        <color theme="0" tint="0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0" tint="0"/>
      </left>
      <right style="thin">
        <color theme="0" tint="0"/>
      </right>
      <top style="none"/>
      <bottom style="thin">
        <color theme="1"/>
      </bottom>
      <diagonal style="none"/>
    </border>
    <border>
      <left style="thin">
        <color theme="0" tint="0"/>
      </left>
      <right style="thin">
        <color theme="1"/>
      </right>
      <top style="none"/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44" applyNumberFormat="1" applyFont="0" applyFill="0" applyBorder="0"/>
    <xf fontId="1" fillId="2" borderId="0" numFmtId="9" applyNumberFormat="1" applyFont="0" applyFill="0" applyBorder="0"/>
  </cellStyleXfs>
  <cellXfs count="35">
    <xf fontId="0" fillId="0" borderId="0" numFmtId="0" xfId="0" applyAlignment="1">
      <alignment readingOrder="0"/>
    </xf>
    <xf fontId="2" fillId="0" borderId="0" numFmtId="0" xfId="0" applyFont="1" applyAlignment="1">
      <alignment readingOrder="0"/>
    </xf>
    <xf fontId="0" fillId="0" borderId="0" numFmtId="164" xfId="0" applyNumberFormat="1" applyAlignment="1">
      <alignment readingOrder="0"/>
    </xf>
    <xf fontId="2" fillId="3" borderId="0" numFmtId="0" xfId="0" applyFont="1" applyFill="1" applyAlignment="1">
      <alignment readingOrder="0"/>
    </xf>
    <xf fontId="2" fillId="0" borderId="0" numFmtId="165" xfId="1" applyNumberFormat="1" applyFont="1" applyAlignment="1">
      <alignment readingOrder="0"/>
    </xf>
    <xf fontId="2" fillId="0" borderId="0" numFmtId="14" xfId="0" applyNumberFormat="1" applyFont="1" applyAlignment="1">
      <alignment readingOrder="0"/>
    </xf>
    <xf fontId="3" fillId="3" borderId="0" numFmtId="0" xfId="0" applyFont="1" applyFill="1" applyAlignment="1">
      <alignment horizontal="center"/>
    </xf>
    <xf fontId="3" fillId="3" borderId="0" numFmtId="0" xfId="0" applyFont="1" applyFill="1" applyAlignment="1">
      <alignment horizontal="center" readingOrder="0"/>
    </xf>
    <xf fontId="4" fillId="3" borderId="0" numFmtId="0" xfId="0" applyFont="1" applyFill="1" applyAlignment="1">
      <alignment horizontal="center"/>
    </xf>
    <xf fontId="0" fillId="0" borderId="1" numFmtId="0" xfId="0" applyBorder="1"/>
    <xf fontId="0" fillId="0" borderId="2" numFmtId="2" xfId="0" applyNumberFormat="1" applyBorder="1" applyAlignment="1">
      <alignment readingOrder="0"/>
    </xf>
    <xf fontId="0" fillId="0" borderId="3" numFmtId="164" xfId="0" applyNumberFormat="1" applyBorder="1" applyAlignment="1">
      <alignment readingOrder="0"/>
    </xf>
    <xf fontId="2" fillId="0" borderId="4" numFmtId="0" xfId="0" applyFont="1" applyBorder="1" applyAlignment="1">
      <alignment readingOrder="0"/>
    </xf>
    <xf fontId="2" fillId="0" borderId="5" numFmtId="0" xfId="0" applyFont="1" applyBorder="1" applyAlignment="1">
      <alignment readingOrder="0"/>
    </xf>
    <xf fontId="2" fillId="0" borderId="5" numFmtId="14" xfId="0" applyNumberFormat="1" applyFont="1" applyBorder="1" applyAlignment="1">
      <alignment readingOrder="0"/>
    </xf>
    <xf fontId="2" fillId="0" borderId="6" numFmtId="2" xfId="0" applyNumberFormat="1" applyFont="1" applyBorder="1" applyAlignment="1">
      <alignment readingOrder="0"/>
    </xf>
    <xf fontId="2" fillId="0" borderId="7" numFmtId="0" xfId="0" applyFont="1" applyBorder="1" applyAlignment="1">
      <alignment readingOrder="0"/>
    </xf>
    <xf fontId="2" fillId="0" borderId="7" numFmtId="165" xfId="1" applyNumberFormat="1" applyFont="1" applyBorder="1" applyAlignment="1">
      <alignment readingOrder="0"/>
    </xf>
    <xf fontId="2" fillId="0" borderId="4" numFmtId="14" xfId="0" applyNumberFormat="1" applyFont="1" applyBorder="1" applyAlignment="1">
      <alignment readingOrder="0"/>
    </xf>
    <xf fontId="2" fillId="0" borderId="6" numFmtId="165" xfId="1" applyNumberFormat="1" applyFont="1" applyBorder="1" applyAlignment="1">
      <alignment readingOrder="0"/>
    </xf>
    <xf fontId="2" fillId="0" borderId="6" numFmtId="165" xfId="0" applyNumberFormat="1" applyFont="1" applyBorder="1" applyAlignment="1">
      <alignment readingOrder="0"/>
    </xf>
    <xf fontId="2" fillId="0" borderId="4" numFmtId="0" xfId="0" applyFont="1" applyBorder="1"/>
    <xf fontId="2" fillId="0" borderId="5" numFmtId="0" xfId="0" applyFont="1" applyBorder="1"/>
    <xf fontId="2" fillId="0" borderId="5" numFmtId="14" xfId="0" applyNumberFormat="1" applyFont="1" applyBorder="1"/>
    <xf fontId="2" fillId="0" borderId="6" numFmtId="2" xfId="0" applyNumberFormat="1" applyFont="1" applyBorder="1"/>
    <xf fontId="2" fillId="0" borderId="6" numFmtId="165" xfId="1" applyNumberFormat="1" applyFont="1" applyBorder="1"/>
    <xf fontId="5" fillId="0" borderId="0" numFmtId="0" xfId="0" applyFont="1" applyAlignment="1">
      <alignment horizontal="right"/>
    </xf>
    <xf fontId="5" fillId="3" borderId="0" numFmtId="0" xfId="0" applyFont="1" applyFill="1" applyAlignment="1">
      <alignment readingOrder="0"/>
    </xf>
    <xf fontId="0" fillId="0" borderId="1" numFmtId="0" xfId="0" applyBorder="1" applyAlignment="1">
      <alignment readingOrder="0"/>
    </xf>
    <xf fontId="0" fillId="0" borderId="5" numFmtId="2" xfId="0" applyNumberFormat="1" applyBorder="1" applyAlignment="1">
      <alignment readingOrder="0"/>
    </xf>
    <xf fontId="0" fillId="0" borderId="6" numFmtId="164" xfId="0" applyNumberFormat="1" applyBorder="1" applyAlignment="1">
      <alignment readingOrder="0"/>
    </xf>
    <xf fontId="0" fillId="0" borderId="8" numFmtId="2" xfId="0" applyNumberFormat="1" applyBorder="1" applyAlignment="1">
      <alignment readingOrder="0"/>
    </xf>
    <xf fontId="0" fillId="0" borderId="9" numFmtId="164" xfId="0" applyNumberFormat="1" applyBorder="1" applyAlignment="1">
      <alignment readingOrder="0"/>
    </xf>
    <xf fontId="0" fillId="0" borderId="10" numFmtId="2" xfId="0" applyNumberFormat="1" applyBorder="1" applyAlignment="1">
      <alignment readingOrder="0"/>
    </xf>
    <xf fontId="0" fillId="0" borderId="11" numFmtId="164" xfId="0" applyNumberFormat="1" applyBorder="1" applyAlignment="1">
      <alignment readingOrder="0"/>
    </xf>
  </cellXfs>
  <cellStyles count="3">
    <cellStyle name="Normal" xfId="0" builtinId="0"/>
    <cellStyle name="Currency" xfId="1" builtin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2:C33">
  <autoFilter ref="A2:C33"/>
  <sortState ref="C2:C33">
    <sortCondition descending="0" ref="C2:C33"/>
  </sortState>
  <tableColumns count="3">
    <tableColumn id="1" name="Item"/>
    <tableColumn id="2" name="Cost"/>
    <tableColumn id="3" name="Date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2" ref="$M$2:$N$8">
  <autoFilter ref="$M$2:$N$8"/>
  <tableColumns count="2">
    <tableColumn id="1" name="When"/>
    <tableColumn id="2" name="Income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4" ref="J2:K8">
  <autoFilter ref="J2:K8"/>
  <sortState ref="K2:K8">
    <sortCondition descending="1" ref="K2:K8"/>
  </sortState>
  <tableColumns count="2">
    <tableColumn id="1" name="Category"/>
    <tableColumn id="2" name="Amnt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5" ref="E2:H7">
  <autoFilter ref="E2:H7"/>
  <sortState ref="H2:H6">
    <sortCondition descending="1" ref="H2:H6"/>
  </sortState>
  <tableColumns count="4">
    <tableColumn id="1" name="Product"/>
    <tableColumn id="2" name="Cost"/>
    <tableColumn id="3" name="Start Date"/>
    <tableColumn id="4" name="Total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7" ref="$P$2:$Q$5">
  <autoFilter ref="$P$2:$Q$5"/>
  <tableColumns count="2">
    <tableColumn id="1" name="Money"/>
    <tableColumn id="2" name="Amnt"/>
  </tableColumns>
  <tableStyleInfo name="TableStyleDark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Relationship  Id="rId3" Type="http://schemas.openxmlformats.org/officeDocument/2006/relationships/table" Target="../tables/table3.xml"/><Relationship  Id="rId4" Type="http://schemas.openxmlformats.org/officeDocument/2006/relationships/table" Target="../tables/table4.xml"/><Relationship 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view="normal" zoomScale="100" workbookViewId="0">
      <selection activeCell="A1" activeCellId="0" sqref="A1"/>
    </sheetView>
  </sheetViews>
  <sheetFormatPr defaultColWidth="12.630000000000001" defaultRowHeight="15.75" customHeight="1"/>
  <cols>
    <col bestFit="1" customWidth="1" min="1" max="1" width="42.80078125"/>
    <col bestFit="1" min="2" max="2" width="7.30078125"/>
    <col bestFit="1" min="3" max="3" style="2" width="11.15234375"/>
    <col customWidth="1" min="4" max="4" style="3" width="1.8515625"/>
    <col customWidth="1" min="5" max="5" style="1" width="24.57421875"/>
    <col bestFit="1" customWidth="1" min="6" max="6" style="4" width="6.97265625"/>
    <col bestFit="1" customWidth="1" min="7" max="7" style="1" width="12.36328125"/>
    <col bestFit="1" customWidth="1" min="8" max="8" style="1" width="8.00390625"/>
    <col customWidth="1" min="9" max="9" style="3" width="1.8515625"/>
    <col bestFit="1" min="10" max="10" style="5" width="13.2421875"/>
    <col bestFit="1" min="11" max="11" style="1" width="8.51171875"/>
    <col customWidth="1" min="12" max="12" style="3" width="1.8515625"/>
    <col bestFit="1" min="13" max="13" style="1" width="11.15234375"/>
    <col bestFit="1" min="14" max="14" style="1" width="9.61328125"/>
    <col customWidth="1" min="15" max="15" style="3" width="1.8515625"/>
    <col bestFit="1" min="16" max="16" style="1" width="10.6015625"/>
    <col bestFit="1" min="17" max="17" style="1" width="10.2734375"/>
    <col customWidth="1" min="18" max="18" style="3" width="1.8515625"/>
    <col min="19" max="16384" style="1" width="12.630000000000001"/>
  </cols>
  <sheetData>
    <row r="1" ht="26.25" customHeight="1">
      <c r="A1" s="6" t="s">
        <v>0</v>
      </c>
      <c r="B1" s="6"/>
      <c r="C1" s="6"/>
      <c r="D1" s="3"/>
      <c r="E1" s="7" t="s">
        <v>1</v>
      </c>
      <c r="F1" s="7"/>
      <c r="G1" s="7"/>
      <c r="H1" s="7"/>
      <c r="I1" s="3"/>
      <c r="J1" s="6" t="s">
        <v>2</v>
      </c>
      <c r="K1" s="6"/>
      <c r="L1" s="3"/>
      <c r="M1" s="6" t="s">
        <v>3</v>
      </c>
      <c r="N1" s="6"/>
      <c r="O1" s="3"/>
      <c r="P1" s="6" t="s">
        <v>4</v>
      </c>
      <c r="Q1" s="6"/>
      <c r="R1" s="3"/>
    </row>
    <row r="2">
      <c r="A2" t="s">
        <v>5</v>
      </c>
      <c r="B2" t="s">
        <v>6</v>
      </c>
      <c r="C2" s="2" t="s">
        <v>7</v>
      </c>
      <c r="D2" s="3"/>
      <c r="E2" s="1" t="s">
        <v>8</v>
      </c>
      <c r="F2" s="1" t="s">
        <v>6</v>
      </c>
      <c r="G2" s="1" t="s">
        <v>9</v>
      </c>
      <c r="H2" s="1" t="s">
        <v>10</v>
      </c>
      <c r="I2" s="3"/>
      <c r="J2" s="1" t="s">
        <v>11</v>
      </c>
      <c r="K2" s="4" t="s">
        <v>12</v>
      </c>
      <c r="L2" s="3"/>
      <c r="M2" s="1" t="s">
        <v>13</v>
      </c>
      <c r="N2" s="4" t="s">
        <v>14</v>
      </c>
      <c r="O2" s="3"/>
      <c r="P2" s="8" t="s">
        <v>15</v>
      </c>
      <c r="Q2" s="8" t="s">
        <v>12</v>
      </c>
      <c r="R2" s="3"/>
    </row>
    <row r="3">
      <c r="A3" s="9" t="s">
        <v>16</v>
      </c>
      <c r="B3" s="10">
        <v>4.1299999999999999</v>
      </c>
      <c r="C3" s="11">
        <v>46209</v>
      </c>
      <c r="D3" s="3"/>
      <c r="E3" s="12" t="s">
        <v>17</v>
      </c>
      <c r="F3" s="13">
        <v>21.780000000000001</v>
      </c>
      <c r="G3" s="14">
        <v>46245</v>
      </c>
      <c r="H3" s="15">
        <f t="shared" ref="H3:H6" ca="1" si="0">(DATEDIF(G3,TODAY(),"m")+1)*F3</f>
        <v>65.340000000000003</v>
      </c>
      <c r="I3" s="3"/>
      <c r="J3" s="16" t="s">
        <v>18</v>
      </c>
      <c r="K3" s="17">
        <f>(SUMIF(Table1[Item],"*Retail*",Table1[Cost]))</f>
        <v>874.90999999999997</v>
      </c>
      <c r="L3" s="3"/>
      <c r="M3" s="18">
        <v>46220</v>
      </c>
      <c r="N3" s="19">
        <v>999.99000000000001</v>
      </c>
      <c r="O3" s="3"/>
      <c r="P3" s="12" t="s">
        <v>19</v>
      </c>
      <c r="Q3" s="20">
        <f>SUM(Table2[Income])</f>
        <v>5999.9400000000005</v>
      </c>
      <c r="R3" s="3"/>
    </row>
    <row r="4">
      <c r="A4" s="9" t="s">
        <v>20</v>
      </c>
      <c r="B4" s="10">
        <v>20.350000000000001</v>
      </c>
      <c r="C4" s="11">
        <v>46210</v>
      </c>
      <c r="D4" s="3"/>
      <c r="E4" s="21" t="s">
        <v>21</v>
      </c>
      <c r="F4" s="22">
        <v>28.640000000000001</v>
      </c>
      <c r="G4" s="23">
        <v>46246</v>
      </c>
      <c r="H4" s="24">
        <f t="shared" ca="1" si="0"/>
        <v>85.920000000000002</v>
      </c>
      <c r="I4" s="3"/>
      <c r="J4" s="16" t="s">
        <v>22</v>
      </c>
      <c r="K4" s="17">
        <f>(SUMIF(Table1[Item],"*Game*",Table1[Cost]))</f>
        <v>219.90000000000003</v>
      </c>
      <c r="L4" s="3"/>
      <c r="M4" s="18">
        <v>46229</v>
      </c>
      <c r="N4" s="25">
        <v>999.99000000000001</v>
      </c>
      <c r="O4" s="3"/>
      <c r="P4" s="12" t="s">
        <v>23</v>
      </c>
      <c r="Q4" s="20">
        <f>SUM(Table4[Amnt])</f>
        <v>1387.0599999999997</v>
      </c>
      <c r="R4" s="3"/>
    </row>
    <row r="5">
      <c r="A5" s="9" t="s">
        <v>24</v>
      </c>
      <c r="B5" s="10">
        <v>38.109999999999999</v>
      </c>
      <c r="C5" s="11">
        <v>46211</v>
      </c>
      <c r="D5" s="3"/>
      <c r="E5" s="21" t="s">
        <v>25</v>
      </c>
      <c r="F5" s="22">
        <v>8.1500000000000004</v>
      </c>
      <c r="G5" s="23">
        <v>46247</v>
      </c>
      <c r="H5" s="24">
        <f t="shared" ca="1" si="0"/>
        <v>24.450000000000003</v>
      </c>
      <c r="I5" s="3"/>
      <c r="J5" s="16" t="s">
        <v>26</v>
      </c>
      <c r="K5" s="17">
        <f>SUM(Table5[Total])+(SUMIF(Table1[Item],"*Subscription*",Table1[Cost]))</f>
        <v>205.07999999999998</v>
      </c>
      <c r="L5" s="3"/>
      <c r="M5" s="18">
        <v>46234</v>
      </c>
      <c r="N5" s="25">
        <v>999.99000000000001</v>
      </c>
      <c r="O5" s="3"/>
      <c r="P5" s="12" t="s">
        <v>27</v>
      </c>
      <c r="Q5" s="20">
        <f>Q3-Q4</f>
        <v>4612.880000000001</v>
      </c>
      <c r="R5" s="3"/>
    </row>
    <row r="6">
      <c r="A6" s="9" t="s">
        <v>28</v>
      </c>
      <c r="B6" s="10">
        <v>21.760000000000002</v>
      </c>
      <c r="C6" s="11">
        <v>46211</v>
      </c>
      <c r="D6" s="3"/>
      <c r="E6" s="21" t="s">
        <v>29</v>
      </c>
      <c r="F6" s="22">
        <v>9.7899999999999991</v>
      </c>
      <c r="G6" s="23">
        <v>46248</v>
      </c>
      <c r="H6" s="24">
        <f t="shared" ca="1" si="0"/>
        <v>29.369999999999997</v>
      </c>
      <c r="I6" s="3"/>
      <c r="J6" s="16" t="s">
        <v>30</v>
      </c>
      <c r="K6" s="17">
        <f>(SUMIF(Table1[Item],"*Food*",Table1[Cost]))</f>
        <v>60.839999999999996</v>
      </c>
      <c r="L6" s="3"/>
      <c r="M6" s="18">
        <v>46241</v>
      </c>
      <c r="N6" s="25">
        <v>999.99000000000001</v>
      </c>
      <c r="O6" s="3"/>
      <c r="R6" s="3"/>
    </row>
    <row r="7">
      <c r="A7" s="9" t="s">
        <v>31</v>
      </c>
      <c r="B7" s="10">
        <v>8.6999999999999993</v>
      </c>
      <c r="C7" s="11">
        <v>46211</v>
      </c>
      <c r="D7" s="3"/>
      <c r="E7" s="21" t="s">
        <v>32</v>
      </c>
      <c r="F7" s="22">
        <v>21.780000000000001</v>
      </c>
      <c r="G7" s="23">
        <v>46249</v>
      </c>
      <c r="H7" s="24"/>
      <c r="I7" s="3"/>
      <c r="J7" s="16" t="s">
        <v>33</v>
      </c>
      <c r="K7" s="17">
        <f>(SUMIF(Table1[Item],"*Drink*",Table1[Cost]))</f>
        <v>26.330000000000002</v>
      </c>
      <c r="L7" s="3"/>
      <c r="M7" s="18">
        <v>46248</v>
      </c>
      <c r="N7" s="25">
        <v>999.99000000000001</v>
      </c>
      <c r="O7" s="3"/>
      <c r="R7" s="3"/>
    </row>
    <row r="8">
      <c r="A8" s="9" t="s">
        <v>34</v>
      </c>
      <c r="B8" s="10">
        <v>3.3100000000000001</v>
      </c>
      <c r="C8" s="11">
        <v>46211</v>
      </c>
      <c r="D8" s="3"/>
      <c r="I8" s="3"/>
      <c r="J8" s="16" t="s">
        <v>35</v>
      </c>
      <c r="K8" s="17">
        <f>(SUMIF(Table1[Item],"*Travel*",Table1[Cost]))</f>
        <v>0</v>
      </c>
      <c r="L8" s="3"/>
      <c r="M8" s="18">
        <v>46255</v>
      </c>
      <c r="N8" s="25">
        <v>999.99000000000035</v>
      </c>
      <c r="O8" s="3"/>
      <c r="R8" s="3"/>
    </row>
    <row r="9">
      <c r="A9" s="9" t="s">
        <v>36</v>
      </c>
      <c r="B9" s="10">
        <v>16.550000000000001</v>
      </c>
      <c r="C9" s="11">
        <v>46215</v>
      </c>
      <c r="D9" s="3"/>
      <c r="I9" s="3"/>
      <c r="J9" s="5"/>
      <c r="K9" s="1"/>
      <c r="L9" s="3"/>
      <c r="M9" s="1"/>
      <c r="O9" s="3"/>
      <c r="R9" s="3"/>
    </row>
    <row r="10">
      <c r="A10" s="9" t="s">
        <v>37</v>
      </c>
      <c r="B10" s="10">
        <v>5.9800000000000004</v>
      </c>
      <c r="C10" s="11">
        <v>46217</v>
      </c>
      <c r="D10" s="3"/>
      <c r="E10" s="1"/>
      <c r="F10" s="4"/>
      <c r="H10" s="1"/>
      <c r="I10" s="3"/>
      <c r="L10" s="3"/>
      <c r="M10" s="1"/>
      <c r="O10" s="3"/>
      <c r="R10" s="3"/>
    </row>
    <row r="11">
      <c r="A11" s="9" t="s">
        <v>38</v>
      </c>
      <c r="B11" s="10">
        <v>5.4400000000000004</v>
      </c>
      <c r="C11" s="11">
        <v>46221</v>
      </c>
      <c r="D11" s="3"/>
      <c r="F11" s="4"/>
      <c r="G11" s="26"/>
      <c r="I11" s="3"/>
      <c r="L11" s="3"/>
      <c r="M11" s="1"/>
      <c r="O11" s="3"/>
      <c r="R11" s="3"/>
    </row>
    <row r="12">
      <c r="A12" s="9" t="s">
        <v>39</v>
      </c>
      <c r="B12" s="10">
        <v>19.98</v>
      </c>
      <c r="C12" s="11">
        <v>46222</v>
      </c>
      <c r="D12" s="3"/>
      <c r="E12" s="1"/>
      <c r="F12" s="4"/>
      <c r="I12" s="3"/>
      <c r="J12" s="5"/>
      <c r="L12" s="3"/>
      <c r="M12" s="1"/>
      <c r="O12" s="3"/>
      <c r="R12" s="3"/>
    </row>
    <row r="13">
      <c r="A13" s="9" t="s">
        <v>40</v>
      </c>
      <c r="B13" s="10">
        <v>8.9900000000000002</v>
      </c>
      <c r="C13" s="11">
        <v>46222</v>
      </c>
      <c r="D13" s="3"/>
      <c r="F13" s="4"/>
      <c r="G13" s="1"/>
      <c r="I13" s="3"/>
      <c r="L13" s="3"/>
      <c r="M13" s="1"/>
      <c r="O13" s="3"/>
      <c r="R13" s="3"/>
    </row>
    <row r="14">
      <c r="A14" s="9" t="s">
        <v>41</v>
      </c>
      <c r="B14" s="10">
        <v>6.9900000000000002</v>
      </c>
      <c r="C14" s="11">
        <v>46222</v>
      </c>
      <c r="D14" s="3"/>
      <c r="E14" s="1"/>
      <c r="F14" s="4"/>
      <c r="G14" s="1"/>
      <c r="I14" s="3"/>
      <c r="J14" s="5"/>
      <c r="L14" s="3"/>
      <c r="M14" s="1"/>
      <c r="O14" s="3"/>
      <c r="R14" s="3"/>
    </row>
    <row r="15">
      <c r="A15" s="9" t="s">
        <v>42</v>
      </c>
      <c r="B15" s="10">
        <v>33.969999999999999</v>
      </c>
      <c r="C15" s="11">
        <v>46223</v>
      </c>
      <c r="D15" s="3"/>
      <c r="E15" s="1"/>
      <c r="F15" s="4"/>
      <c r="G15" s="1"/>
      <c r="I15" s="3"/>
      <c r="L15" s="3"/>
      <c r="M15" s="1"/>
      <c r="O15" s="3"/>
      <c r="R15" s="3"/>
    </row>
    <row r="16">
      <c r="A16" s="9" t="s">
        <v>43</v>
      </c>
      <c r="B16" s="10">
        <v>22.039999999999999</v>
      </c>
      <c r="C16" s="11">
        <v>46228</v>
      </c>
      <c r="D16" s="3"/>
      <c r="E16" s="1"/>
      <c r="F16" s="4"/>
      <c r="G16" s="1"/>
      <c r="I16" s="3"/>
      <c r="L16" s="3"/>
      <c r="O16" s="3"/>
      <c r="R16" s="3"/>
    </row>
    <row r="17">
      <c r="A17" s="9" t="s">
        <v>44</v>
      </c>
      <c r="B17" s="10">
        <v>6.0999999999999996</v>
      </c>
      <c r="C17" s="11">
        <v>46231</v>
      </c>
      <c r="D17" s="3"/>
      <c r="E17" s="1"/>
      <c r="F17" s="4"/>
      <c r="G17" s="1"/>
      <c r="I17" s="3"/>
      <c r="L17" s="3"/>
      <c r="O17" s="3"/>
      <c r="R17" s="3"/>
    </row>
    <row r="18">
      <c r="A18" s="9" t="s">
        <v>45</v>
      </c>
      <c r="B18" s="10">
        <v>82.090000000000003</v>
      </c>
      <c r="C18" s="11">
        <v>46234</v>
      </c>
      <c r="D18" s="3"/>
      <c r="E18" s="1" t="s">
        <v>46</v>
      </c>
      <c r="F18" s="4"/>
      <c r="G18" s="1"/>
      <c r="I18" s="3"/>
      <c r="L18" s="3"/>
      <c r="M18" s="1"/>
      <c r="O18" s="3"/>
      <c r="R18" s="3"/>
    </row>
    <row r="19">
      <c r="A19" s="9" t="s">
        <v>47</v>
      </c>
      <c r="B19" s="10">
        <v>10</v>
      </c>
      <c r="C19" s="11">
        <v>46236</v>
      </c>
      <c r="D19" s="3"/>
      <c r="E19" s="1"/>
      <c r="F19" s="4"/>
      <c r="G19" s="1"/>
      <c r="I19" s="3"/>
      <c r="L19" s="3"/>
      <c r="O19" s="3"/>
      <c r="P19" s="1"/>
      <c r="R19" s="3"/>
    </row>
    <row r="20">
      <c r="A20" s="9" t="s">
        <v>48</v>
      </c>
      <c r="B20" s="10">
        <v>23.739999999999998</v>
      </c>
      <c r="C20" s="11">
        <v>46240</v>
      </c>
      <c r="D20" s="27"/>
      <c r="E20" s="1"/>
      <c r="F20" s="4"/>
      <c r="G20" s="1"/>
      <c r="I20" s="27"/>
      <c r="L20" s="27"/>
      <c r="O20" s="27"/>
      <c r="R20" s="27"/>
    </row>
    <row r="21">
      <c r="A21" s="9" t="s">
        <v>49</v>
      </c>
      <c r="B21" s="10">
        <v>18.579999999999998</v>
      </c>
      <c r="C21" s="11">
        <v>46248</v>
      </c>
      <c r="D21" s="3"/>
      <c r="E21" s="1"/>
      <c r="F21" s="4"/>
      <c r="G21" s="1"/>
      <c r="I21" s="3"/>
      <c r="L21" s="3"/>
      <c r="O21" s="3"/>
      <c r="R21" s="3"/>
    </row>
    <row r="22">
      <c r="A22" s="9" t="s">
        <v>50</v>
      </c>
      <c r="B22" s="10">
        <v>17.550000000000001</v>
      </c>
      <c r="C22" s="11">
        <v>46256</v>
      </c>
      <c r="D22" s="3"/>
      <c r="E22" s="1"/>
      <c r="I22" s="3"/>
      <c r="L22" s="3"/>
      <c r="O22" s="3"/>
      <c r="R22" s="3"/>
    </row>
    <row r="23">
      <c r="A23" s="9" t="s">
        <v>51</v>
      </c>
      <c r="B23" s="10">
        <v>23.98</v>
      </c>
      <c r="C23" s="11">
        <v>46257</v>
      </c>
      <c r="D23" s="3"/>
      <c r="E23" s="1"/>
      <c r="I23" s="3"/>
      <c r="L23" s="3"/>
      <c r="O23" s="3"/>
      <c r="R23" s="3"/>
    </row>
    <row r="24">
      <c r="A24" s="9" t="s">
        <v>52</v>
      </c>
      <c r="B24" s="10">
        <v>216.68000000000001</v>
      </c>
      <c r="C24" s="11">
        <v>46262</v>
      </c>
      <c r="D24" s="3"/>
      <c r="E24" s="1"/>
      <c r="I24" s="3"/>
      <c r="L24" s="3"/>
      <c r="O24" s="3"/>
      <c r="R24" s="3"/>
    </row>
    <row r="25">
      <c r="A25" s="9" t="s">
        <v>53</v>
      </c>
      <c r="B25" s="10">
        <v>17.989999999999998</v>
      </c>
      <c r="C25" s="11">
        <v>46267</v>
      </c>
      <c r="D25" s="3"/>
      <c r="I25" s="3"/>
      <c r="L25" s="3"/>
      <c r="O25" s="3"/>
      <c r="R25" s="3"/>
    </row>
    <row r="26">
      <c r="A26" s="9" t="s">
        <v>54</v>
      </c>
      <c r="B26" s="10">
        <v>21.239999999999998</v>
      </c>
      <c r="C26" s="11">
        <v>46269</v>
      </c>
      <c r="D26" s="3"/>
      <c r="I26" s="3"/>
      <c r="L26" s="3"/>
      <c r="O26" s="3"/>
      <c r="R26" s="3"/>
    </row>
    <row r="27">
      <c r="A27" s="28" t="s">
        <v>55</v>
      </c>
      <c r="B27" s="10">
        <v>3</v>
      </c>
      <c r="C27" s="11">
        <v>46279</v>
      </c>
      <c r="D27" s="3"/>
      <c r="I27" s="3"/>
      <c r="L27" s="3"/>
      <c r="M27" s="1"/>
      <c r="O27" s="3"/>
      <c r="R27" s="3"/>
    </row>
    <row r="28">
      <c r="A28" s="9" t="s">
        <v>56</v>
      </c>
      <c r="B28" s="10">
        <v>9.7899999999999991</v>
      </c>
      <c r="C28" s="11">
        <v>46281</v>
      </c>
      <c r="D28" s="3"/>
      <c r="I28" s="3"/>
      <c r="L28" s="3"/>
      <c r="M28" s="1"/>
      <c r="O28" s="3"/>
      <c r="R28" s="3"/>
    </row>
    <row r="29">
      <c r="A29" s="9" t="s">
        <v>57</v>
      </c>
      <c r="B29" s="10">
        <v>10.32</v>
      </c>
      <c r="C29" s="11">
        <v>46288</v>
      </c>
      <c r="D29" s="3"/>
      <c r="I29" s="3"/>
      <c r="L29" s="3"/>
      <c r="O29" s="3"/>
      <c r="R29" s="3"/>
    </row>
    <row r="30" ht="15.75" customHeight="1">
      <c r="A30" s="9" t="s">
        <v>58</v>
      </c>
      <c r="B30" s="10">
        <v>32.649999999999999</v>
      </c>
      <c r="C30" s="11">
        <v>46293</v>
      </c>
    </row>
    <row r="31" ht="15.75" customHeight="1">
      <c r="A31" s="9" t="s">
        <v>59</v>
      </c>
      <c r="B31" s="29">
        <v>436.38999999999999</v>
      </c>
      <c r="C31" s="30">
        <v>46301</v>
      </c>
    </row>
    <row r="32" ht="15.75" customHeight="1">
      <c r="A32" s="9" t="s">
        <v>60</v>
      </c>
      <c r="B32" s="31">
        <v>27.899999999999999</v>
      </c>
      <c r="C32" s="32">
        <v>46302</v>
      </c>
    </row>
    <row r="33" ht="15.75" customHeight="1">
      <c r="A33" s="9" t="s">
        <v>61</v>
      </c>
      <c r="B33" s="33">
        <v>7.6799999999999997</v>
      </c>
      <c r="C33" s="34">
        <v>46312</v>
      </c>
    </row>
  </sheetData>
  <sortState ref="A2:C28" columnSort="0">
    <sortCondition sortBy="value" descending="0" ref="A2:A28"/>
  </sortState>
  <mergeCells count="5">
    <mergeCell ref="A1:C1"/>
    <mergeCell ref="E1:H1"/>
    <mergeCell ref="J1:K1"/>
    <mergeCell ref="M1:N1"/>
    <mergeCell ref="P1:Q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19</cp:revision>
  <dcterms:modified xsi:type="dcterms:W3CDTF">2026-10-28T03:14:31Z</dcterms:modified>
</cp:coreProperties>
</file>